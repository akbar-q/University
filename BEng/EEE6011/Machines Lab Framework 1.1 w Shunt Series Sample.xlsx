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bar\Cloud-Drive_maa32ocd@bolton.ac.uk\Hobby Projects\GitHub Repos\University\Mechatronics\BEng\EEE6011\"/>
    </mc:Choice>
  </mc:AlternateContent>
  <xr:revisionPtr revIDLastSave="0" documentId="8_{4F47C747-ED4D-420A-8777-3F6AB187227B}" xr6:coauthVersionLast="47" xr6:coauthVersionMax="47" xr10:uidLastSave="{00000000-0000-0000-0000-000000000000}"/>
  <bookViews>
    <workbookView xWindow="-108" yWindow="-108" windowWidth="30936" windowHeight="19416" xr2:uid="{AFB607F1-B90B-41C3-8DE7-CC5370CAC2B8}"/>
  </bookViews>
  <sheets>
    <sheet name="FrameWork" sheetId="6" r:id="rId1"/>
    <sheet name="Series" sheetId="4" r:id="rId2"/>
    <sheet name="Shun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4" l="1"/>
  <c r="M18" i="4"/>
  <c r="M17" i="4"/>
  <c r="N17" i="4" s="1"/>
  <c r="M16" i="4"/>
  <c r="N16" i="4" s="1"/>
  <c r="M15" i="4"/>
  <c r="N15" i="4" s="1"/>
  <c r="M14" i="4"/>
  <c r="N14" i="4" s="1"/>
  <c r="M13" i="4"/>
  <c r="N13" i="4" s="1"/>
  <c r="N12" i="4"/>
  <c r="M12" i="4"/>
  <c r="M11" i="4"/>
  <c r="N11" i="4" s="1"/>
  <c r="J18" i="4"/>
  <c r="I18" i="4"/>
  <c r="I17" i="4"/>
  <c r="J17" i="4" s="1"/>
  <c r="I16" i="4"/>
  <c r="J16" i="4" s="1"/>
  <c r="J15" i="4"/>
  <c r="I15" i="4"/>
  <c r="I14" i="4"/>
  <c r="J14" i="4" s="1"/>
  <c r="I13" i="4"/>
  <c r="J13" i="4" s="1"/>
  <c r="J12" i="4"/>
  <c r="I12" i="4"/>
  <c r="J11" i="4"/>
  <c r="I11" i="4"/>
  <c r="H18" i="4"/>
  <c r="H17" i="4"/>
  <c r="H16" i="4"/>
  <c r="H15" i="4"/>
  <c r="H14" i="4"/>
  <c r="H13" i="4"/>
  <c r="H12" i="4"/>
  <c r="H11" i="4"/>
  <c r="F18" i="4"/>
  <c r="F17" i="4"/>
  <c r="F16" i="4"/>
  <c r="F15" i="4"/>
  <c r="F14" i="4"/>
  <c r="F13" i="4"/>
  <c r="F12" i="4"/>
  <c r="F11" i="4"/>
  <c r="C18" i="4"/>
  <c r="C17" i="4"/>
  <c r="C16" i="4"/>
  <c r="C15" i="4"/>
  <c r="C14" i="4"/>
  <c r="C13" i="4"/>
  <c r="C12" i="4"/>
  <c r="C11" i="4"/>
  <c r="H20" i="5" l="1"/>
  <c r="I20" i="5" s="1"/>
  <c r="J20" i="5" s="1"/>
  <c r="M20" i="5" s="1"/>
  <c r="N20" i="5" s="1"/>
  <c r="H19" i="5"/>
  <c r="I19" i="5" s="1"/>
  <c r="J19" i="5" s="1"/>
  <c r="M19" i="5" s="1"/>
  <c r="N19" i="5" s="1"/>
  <c r="H18" i="5"/>
  <c r="I18" i="5" s="1"/>
  <c r="J18" i="5" s="1"/>
  <c r="M18" i="5" s="1"/>
  <c r="N18" i="5" s="1"/>
  <c r="H17" i="5"/>
  <c r="I17" i="5" s="1"/>
  <c r="J17" i="5" s="1"/>
  <c r="M17" i="5" s="1"/>
  <c r="N17" i="5" s="1"/>
  <c r="H16" i="5"/>
  <c r="I16" i="5" s="1"/>
  <c r="J16" i="5" s="1"/>
  <c r="M16" i="5" s="1"/>
  <c r="N16" i="5" s="1"/>
  <c r="H15" i="5"/>
  <c r="I15" i="5" s="1"/>
  <c r="J15" i="5" s="1"/>
  <c r="M15" i="5" s="1"/>
  <c r="N15" i="5" s="1"/>
  <c r="H14" i="5"/>
  <c r="I14" i="5" s="1"/>
  <c r="J14" i="5" s="1"/>
  <c r="M14" i="5" s="1"/>
  <c r="N14" i="5" s="1"/>
  <c r="H13" i="5"/>
  <c r="I13" i="5" s="1"/>
  <c r="J13" i="5" s="1"/>
  <c r="M13" i="5" s="1"/>
  <c r="N13" i="5" s="1"/>
  <c r="H12" i="5"/>
  <c r="I12" i="5" s="1"/>
  <c r="J12" i="5" s="1"/>
  <c r="M12" i="5" s="1"/>
  <c r="N12" i="5" s="1"/>
  <c r="H11" i="5"/>
  <c r="I11" i="5" s="1"/>
  <c r="J11" i="5" s="1"/>
  <c r="M11" i="5" s="1"/>
  <c r="N11" i="5" s="1"/>
  <c r="F13" i="5"/>
  <c r="F14" i="5"/>
  <c r="F15" i="5"/>
  <c r="F16" i="5"/>
  <c r="F17" i="5"/>
  <c r="F18" i="5"/>
  <c r="F19" i="5"/>
  <c r="F20" i="5"/>
  <c r="F12" i="5"/>
  <c r="F11" i="5"/>
  <c r="C20" i="5"/>
  <c r="C19" i="5"/>
  <c r="C18" i="5"/>
  <c r="C17" i="5"/>
  <c r="C16" i="5"/>
  <c r="C15" i="5"/>
  <c r="C14" i="5"/>
  <c r="C13" i="5"/>
  <c r="C12" i="5"/>
  <c r="C11" i="5"/>
</calcChain>
</file>

<file path=xl/sharedStrings.xml><?xml version="1.0" encoding="utf-8"?>
<sst xmlns="http://schemas.openxmlformats.org/spreadsheetml/2006/main" count="189" uniqueCount="58">
  <si>
    <t>Speed</t>
  </si>
  <si>
    <t>Efficiency</t>
  </si>
  <si>
    <t>η</t>
  </si>
  <si>
    <t>Effciency %</t>
  </si>
  <si>
    <t>Input Voltage</t>
  </si>
  <si>
    <t>V</t>
  </si>
  <si>
    <t>Load (S1)</t>
  </si>
  <si>
    <t>Load (S2)</t>
  </si>
  <si>
    <t>kg</t>
  </si>
  <si>
    <t>Newtons</t>
  </si>
  <si>
    <t>Fixed Variables</t>
  </si>
  <si>
    <t>Field Current</t>
  </si>
  <si>
    <t>A</t>
  </si>
  <si>
    <t>Amps</t>
  </si>
  <si>
    <t>Gravity</t>
  </si>
  <si>
    <t>m/s^2</t>
  </si>
  <si>
    <t>Input Power</t>
  </si>
  <si>
    <t>VA/W*</t>
  </si>
  <si>
    <t>Armature Ia</t>
  </si>
  <si>
    <t>Co-efficient of F</t>
  </si>
  <si>
    <t>μ</t>
  </si>
  <si>
    <t>Friction Exerted</t>
  </si>
  <si>
    <t>Measure</t>
  </si>
  <si>
    <t>(S1+S2)*g</t>
  </si>
  <si>
    <t>μ*Tension</t>
  </si>
  <si>
    <t>Shaft Tension</t>
  </si>
  <si>
    <t>Shaft Torque</t>
  </si>
  <si>
    <t>Output Power</t>
  </si>
  <si>
    <t>Watts/VA*</t>
  </si>
  <si>
    <t>η %</t>
  </si>
  <si>
    <t>η*100</t>
  </si>
  <si>
    <t>Notes</t>
  </si>
  <si>
    <t>* VA is for AC Macine, W is for DC Machine</t>
  </si>
  <si>
    <t>Phase V-I</t>
  </si>
  <si>
    <t>Degrees</t>
  </si>
  <si>
    <t>Power Factor</t>
  </si>
  <si>
    <t>Pout*P.F/Pin</t>
  </si>
  <si>
    <t xml:space="preserve">  Made for</t>
  </si>
  <si>
    <t xml:space="preserve">Electrical Machines Lab Framework </t>
  </si>
  <si>
    <t>by Akbar Q</t>
  </si>
  <si>
    <t>Experiment Name</t>
  </si>
  <si>
    <t>Student ID</t>
  </si>
  <si>
    <t>Date</t>
  </si>
  <si>
    <t>RPM (N)</t>
  </si>
  <si>
    <t>Nm (T)</t>
  </si>
  <si>
    <t>DC Shunt Motor - HND Y1</t>
  </si>
  <si>
    <t>Newtons (Ff)</t>
  </si>
  <si>
    <t>Shaft Radius</t>
  </si>
  <si>
    <t>Meters (r)</t>
  </si>
  <si>
    <t>Ff*r</t>
  </si>
  <si>
    <t>Correction Made: Shaft is Measured as Radius (Only Name is Changed, Not Formula)</t>
  </si>
  <si>
    <t>Electrical Machines Lab Framework V1.1</t>
  </si>
  <si>
    <t>Moment Inertia</t>
  </si>
  <si>
    <t>-</t>
  </si>
  <si>
    <t>V * If+Ia</t>
  </si>
  <si>
    <t>2*pi*N*T/60</t>
  </si>
  <si>
    <t>P.F</t>
  </si>
  <si>
    <t>DC Series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</si>
</sst>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Berlin Sans FB"/>
      <family val="2"/>
    </font>
    <font>
      <sz val="11"/>
      <color theme="0"/>
      <name val="Aptos SemiBold"/>
      <family val="2"/>
    </font>
    <font>
      <sz val="11"/>
      <color theme="1"/>
      <name val="Aptos SemiBold"/>
      <family val="2"/>
    </font>
    <font>
      <sz val="11"/>
      <color theme="1"/>
      <name val="Aptos"/>
      <family val="2"/>
    </font>
    <font>
      <sz val="11"/>
      <color theme="1"/>
      <name val="Aptos Mono"/>
      <family val="3"/>
    </font>
    <font>
      <i/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5" fillId="4" borderId="17" xfId="0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5" borderId="21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5" borderId="1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3" fillId="4" borderId="18" xfId="0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898493</xdr:colOff>
      <xdr:row>0</xdr:row>
      <xdr:rowOff>8283</xdr:rowOff>
    </xdr:from>
    <xdr:to>
      <xdr:col>13</xdr:col>
      <xdr:colOff>948113</xdr:colOff>
      <xdr:row>1</xdr:row>
      <xdr:rowOff>151143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8BC61-13C0-4807-908B-EC33224C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700093" y="8283"/>
          <a:ext cx="1116420" cy="33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900694</xdr:colOff>
      <xdr:row>0</xdr:row>
      <xdr:rowOff>8283</xdr:rowOff>
    </xdr:from>
    <xdr:to>
      <xdr:col>13</xdr:col>
      <xdr:colOff>945913</xdr:colOff>
      <xdr:row>1</xdr:row>
      <xdr:rowOff>151143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752FD6-820F-4CD6-AA03-ADB4E388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702294" y="8283"/>
          <a:ext cx="1112019" cy="332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84083</xdr:rowOff>
    </xdr:from>
    <xdr:to>
      <xdr:col>3</xdr:col>
      <xdr:colOff>518522</xdr:colOff>
      <xdr:row>41</xdr:row>
      <xdr:rowOff>105102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4765C1-7ACE-F9FD-CA92-B36706AA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0938"/>
          <a:ext cx="3718922" cy="2412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105238</xdr:rowOff>
    </xdr:from>
    <xdr:to>
      <xdr:col>3</xdr:col>
      <xdr:colOff>532590</xdr:colOff>
      <xdr:row>81</xdr:row>
      <xdr:rowOff>131379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16F09D-06B3-F3D7-A37A-227A759A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9335"/>
          <a:ext cx="3732990" cy="2417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35285</xdr:rowOff>
    </xdr:from>
    <xdr:to>
      <xdr:col>3</xdr:col>
      <xdr:colOff>525516</xdr:colOff>
      <xdr:row>95</xdr:row>
      <xdr:rowOff>16726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D3D51C-CDED-5094-93B8-2B945457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54416"/>
          <a:ext cx="3725916" cy="2372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67191</xdr:rowOff>
    </xdr:from>
    <xdr:to>
      <xdr:col>3</xdr:col>
      <xdr:colOff>526980</xdr:colOff>
      <xdr:row>68</xdr:row>
      <xdr:rowOff>52550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EB757D-0008-5905-0190-2C8439B2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20184"/>
          <a:ext cx="3727380" cy="2376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23054</xdr:rowOff>
    </xdr:from>
    <xdr:to>
      <xdr:col>3</xdr:col>
      <xdr:colOff>515007</xdr:colOff>
      <xdr:row>55</xdr:row>
      <xdr:rowOff>1102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4A4DF5-FA04-8EFE-065E-A4238D61A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4944"/>
          <a:ext cx="3715407" cy="2369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52646</xdr:rowOff>
    </xdr:from>
    <xdr:to>
      <xdr:col>3</xdr:col>
      <xdr:colOff>525517</xdr:colOff>
      <xdr:row>108</xdr:row>
      <xdr:rowOff>33950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287A982-0DEC-271E-7F97-CF0C0D8A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62880"/>
          <a:ext cx="3725917" cy="237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899763</xdr:colOff>
      <xdr:row>0</xdr:row>
      <xdr:rowOff>8283</xdr:rowOff>
    </xdr:from>
    <xdr:to>
      <xdr:col>13</xdr:col>
      <xdr:colOff>949383</xdr:colOff>
      <xdr:row>1</xdr:row>
      <xdr:rowOff>151143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902F-0DBA-4423-9F2F-92A1181B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701363" y="8283"/>
          <a:ext cx="1116420" cy="33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49279</xdr:rowOff>
    </xdr:from>
    <xdr:to>
      <xdr:col>5</xdr:col>
      <xdr:colOff>244929</xdr:colOff>
      <xdr:row>46</xdr:row>
      <xdr:rowOff>117940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D21546-12EE-544F-5F11-554B453A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3259"/>
          <a:ext cx="5578929" cy="3360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85830</xdr:rowOff>
    </xdr:from>
    <xdr:to>
      <xdr:col>5</xdr:col>
      <xdr:colOff>246184</xdr:colOff>
      <xdr:row>85</xdr:row>
      <xdr:rowOff>106767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0D857F-4C4B-E054-2D54-B5321EE4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42307"/>
          <a:ext cx="5580184" cy="329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55898</xdr:rowOff>
    </xdr:from>
    <xdr:to>
      <xdr:col>5</xdr:col>
      <xdr:colOff>240323</xdr:colOff>
      <xdr:row>66</xdr:row>
      <xdr:rowOff>109391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890A11-7872-D678-9967-F1AA3B3C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221"/>
          <a:ext cx="5574323" cy="3505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112207</xdr:rowOff>
    </xdr:from>
    <xdr:to>
      <xdr:col>5</xdr:col>
      <xdr:colOff>257908</xdr:colOff>
      <xdr:row>106</xdr:row>
      <xdr:rowOff>53361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277352C-5779-7812-CA33-1421885C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21130"/>
          <a:ext cx="5591908" cy="3575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F43F-895D-4B4C-8106-39C5BB21A32A}">
  <dimension ref="A1:Y28"/>
  <sheetViews>
    <sheetView tabSelected="1" topLeftCell="G1" zoomScale="130" zoomScaleNormal="130" workbookViewId="0">
      <selection activeCell="Q8" sqref="Q8"/>
    </sheetView>
  </sheetViews>
  <sheetFormatPr defaultRowHeight="14.4" x14ac:dyDescent="0.3"/>
  <cols>
    <col min="1" max="5" width="15.5546875" style="2" customWidth="1"/>
    <col min="6" max="10" width="15.5546875" style="1" customWidth="1"/>
    <col min="11" max="15" width="15.5546875" style="2" customWidth="1"/>
    <col min="16" max="20" width="14.33203125" style="2" customWidth="1"/>
    <col min="21" max="25" width="9.109375" style="2"/>
  </cols>
  <sheetData>
    <row r="1" spans="1:14" ht="15" thickBot="1" x14ac:dyDescent="0.35">
      <c r="A1" s="61" t="s">
        <v>40</v>
      </c>
      <c r="B1" s="62"/>
      <c r="C1" s="63"/>
      <c r="D1" s="64"/>
      <c r="E1" s="64"/>
      <c r="F1" s="64"/>
      <c r="G1" s="65"/>
      <c r="H1" s="5"/>
      <c r="I1" s="87" t="s">
        <v>51</v>
      </c>
      <c r="J1" s="88"/>
      <c r="K1" s="88"/>
      <c r="L1" s="89"/>
      <c r="M1" s="78" t="s">
        <v>37</v>
      </c>
      <c r="N1" s="79"/>
    </row>
    <row r="2" spans="1:14" ht="15" thickBot="1" x14ac:dyDescent="0.35">
      <c r="A2" s="39" t="s">
        <v>41</v>
      </c>
      <c r="B2" s="63">
        <v>111222</v>
      </c>
      <c r="C2" s="65"/>
      <c r="D2" s="40" t="s">
        <v>42</v>
      </c>
      <c r="E2" s="41">
        <v>45376</v>
      </c>
      <c r="F2" s="6"/>
      <c r="G2" s="6"/>
      <c r="H2" s="6"/>
      <c r="I2" s="59" t="s">
        <v>42</v>
      </c>
      <c r="J2" s="36">
        <v>45379</v>
      </c>
      <c r="K2" s="82" t="s">
        <v>39</v>
      </c>
      <c r="L2" s="83"/>
      <c r="M2" s="80"/>
      <c r="N2" s="81"/>
    </row>
    <row r="3" spans="1:14" x14ac:dyDescent="0.3">
      <c r="A3" s="66" t="s">
        <v>10</v>
      </c>
      <c r="B3" s="38" t="s">
        <v>11</v>
      </c>
      <c r="C3" s="37" t="s">
        <v>47</v>
      </c>
      <c r="D3" s="8" t="s">
        <v>14</v>
      </c>
      <c r="E3" s="8" t="s">
        <v>19</v>
      </c>
      <c r="F3" s="60" t="s">
        <v>52</v>
      </c>
      <c r="G3" s="69" t="s">
        <v>31</v>
      </c>
      <c r="H3" s="84" t="s">
        <v>32</v>
      </c>
      <c r="I3" s="85"/>
      <c r="J3" s="85"/>
      <c r="K3" s="85"/>
      <c r="L3" s="85"/>
      <c r="M3" s="85"/>
      <c r="N3" s="86"/>
    </row>
    <row r="4" spans="1:14" ht="15" thickBot="1" x14ac:dyDescent="0.35">
      <c r="A4" s="67"/>
      <c r="B4" s="11" t="s">
        <v>13</v>
      </c>
      <c r="C4" s="12" t="s">
        <v>48</v>
      </c>
      <c r="D4" s="12" t="s">
        <v>15</v>
      </c>
      <c r="E4" s="12" t="s">
        <v>20</v>
      </c>
      <c r="F4" s="13" t="s">
        <v>53</v>
      </c>
      <c r="G4" s="70"/>
      <c r="H4" s="72" t="s">
        <v>50</v>
      </c>
      <c r="I4" s="73"/>
      <c r="J4" s="73"/>
      <c r="K4" s="73"/>
      <c r="L4" s="73"/>
      <c r="M4" s="73"/>
      <c r="N4" s="74"/>
    </row>
    <row r="5" spans="1:14" ht="15" thickBot="1" x14ac:dyDescent="0.35">
      <c r="A5" s="68"/>
      <c r="B5" s="17">
        <v>0.6</v>
      </c>
      <c r="C5" s="18">
        <v>3.5000000000000003E-2</v>
      </c>
      <c r="D5" s="18">
        <v>9.81</v>
      </c>
      <c r="E5" s="18">
        <v>0.6</v>
      </c>
      <c r="F5" s="19" t="s">
        <v>53</v>
      </c>
      <c r="G5" s="71"/>
      <c r="H5" s="75"/>
      <c r="I5" s="76"/>
      <c r="J5" s="76"/>
      <c r="K5" s="76"/>
      <c r="L5" s="76"/>
      <c r="M5" s="76"/>
      <c r="N5" s="77"/>
    </row>
    <row r="6" spans="1:14" x14ac:dyDescent="0.3">
      <c r="A6" s="3"/>
      <c r="B6" s="3"/>
      <c r="C6" s="3"/>
      <c r="D6" s="3"/>
      <c r="E6" s="3"/>
      <c r="F6" s="4"/>
      <c r="G6" s="4"/>
      <c r="H6" s="4"/>
      <c r="I6" s="4"/>
      <c r="J6" s="4"/>
      <c r="K6" s="3"/>
      <c r="L6" s="3"/>
      <c r="M6" s="3"/>
      <c r="N6" s="3"/>
    </row>
    <row r="7" spans="1:14" ht="15" thickBot="1" x14ac:dyDescent="0.35">
      <c r="A7" s="3"/>
      <c r="B7" s="3"/>
      <c r="C7" s="3"/>
      <c r="D7" s="3"/>
      <c r="E7" s="3"/>
      <c r="F7" s="4"/>
      <c r="G7" s="4"/>
      <c r="H7" s="4"/>
      <c r="I7" s="4"/>
      <c r="J7" s="4"/>
      <c r="K7" s="3"/>
      <c r="L7" s="3"/>
      <c r="M7" s="3"/>
      <c r="N7" s="3"/>
    </row>
    <row r="8" spans="1:14" x14ac:dyDescent="0.3">
      <c r="A8" s="7" t="s">
        <v>4</v>
      </c>
      <c r="B8" s="8" t="s">
        <v>18</v>
      </c>
      <c r="C8" s="8" t="s">
        <v>16</v>
      </c>
      <c r="D8" s="8" t="s">
        <v>6</v>
      </c>
      <c r="E8" s="8" t="s">
        <v>7</v>
      </c>
      <c r="F8" s="8" t="s">
        <v>25</v>
      </c>
      <c r="G8" s="8" t="s">
        <v>0</v>
      </c>
      <c r="H8" s="8" t="s">
        <v>21</v>
      </c>
      <c r="I8" s="8" t="s">
        <v>26</v>
      </c>
      <c r="J8" s="8" t="s">
        <v>27</v>
      </c>
      <c r="K8" s="8" t="s">
        <v>33</v>
      </c>
      <c r="L8" s="8" t="s">
        <v>35</v>
      </c>
      <c r="M8" s="8" t="s">
        <v>1</v>
      </c>
      <c r="N8" s="9" t="s">
        <v>3</v>
      </c>
    </row>
    <row r="9" spans="1:14" x14ac:dyDescent="0.3">
      <c r="A9" s="14" t="s">
        <v>5</v>
      </c>
      <c r="B9" s="15" t="s">
        <v>12</v>
      </c>
      <c r="C9" s="15" t="s">
        <v>17</v>
      </c>
      <c r="D9" s="15" t="s">
        <v>8</v>
      </c>
      <c r="E9" s="15" t="s">
        <v>8</v>
      </c>
      <c r="F9" s="15" t="s">
        <v>9</v>
      </c>
      <c r="G9" s="15" t="s">
        <v>43</v>
      </c>
      <c r="H9" s="15" t="s">
        <v>46</v>
      </c>
      <c r="I9" s="15" t="s">
        <v>44</v>
      </c>
      <c r="J9" s="15" t="s">
        <v>28</v>
      </c>
      <c r="K9" s="15" t="s">
        <v>34</v>
      </c>
      <c r="L9" s="15" t="s">
        <v>56</v>
      </c>
      <c r="M9" s="15" t="s">
        <v>2</v>
      </c>
      <c r="N9" s="16" t="s">
        <v>29</v>
      </c>
    </row>
    <row r="10" spans="1:14" ht="15" thickBot="1" x14ac:dyDescent="0.35">
      <c r="A10" s="42" t="s">
        <v>22</v>
      </c>
      <c r="B10" s="43" t="s">
        <v>22</v>
      </c>
      <c r="C10" s="43" t="s">
        <v>54</v>
      </c>
      <c r="D10" s="43" t="s">
        <v>22</v>
      </c>
      <c r="E10" s="43" t="s">
        <v>22</v>
      </c>
      <c r="F10" s="43" t="s">
        <v>23</v>
      </c>
      <c r="G10" s="43" t="s">
        <v>22</v>
      </c>
      <c r="H10" s="43" t="s">
        <v>24</v>
      </c>
      <c r="I10" s="43" t="s">
        <v>49</v>
      </c>
      <c r="J10" s="44" t="s">
        <v>55</v>
      </c>
      <c r="K10" s="44" t="s">
        <v>22</v>
      </c>
      <c r="L10" s="44" t="s">
        <v>22</v>
      </c>
      <c r="M10" s="43" t="s">
        <v>36</v>
      </c>
      <c r="N10" s="45" t="s">
        <v>30</v>
      </c>
    </row>
    <row r="11" spans="1:14" x14ac:dyDescent="0.3">
      <c r="A11" s="22"/>
      <c r="B11" s="23"/>
      <c r="C11" s="23"/>
      <c r="D11" s="23"/>
      <c r="E11" s="23"/>
      <c r="F11" s="24"/>
      <c r="G11" s="24"/>
      <c r="H11" s="24"/>
      <c r="I11" s="24"/>
      <c r="J11" s="24"/>
      <c r="K11" s="24"/>
      <c r="L11" s="24"/>
      <c r="M11" s="23"/>
      <c r="N11" s="25"/>
    </row>
    <row r="12" spans="1:14" x14ac:dyDescent="0.3">
      <c r="A12" s="26"/>
      <c r="B12" s="27"/>
      <c r="C12" s="27"/>
      <c r="D12" s="27"/>
      <c r="E12" s="27"/>
      <c r="F12" s="20"/>
      <c r="G12" s="20"/>
      <c r="H12" s="20"/>
      <c r="I12" s="20"/>
      <c r="J12" s="20"/>
      <c r="K12" s="20"/>
      <c r="L12" s="20"/>
      <c r="M12" s="27"/>
      <c r="N12" s="28"/>
    </row>
    <row r="13" spans="1:14" x14ac:dyDescent="0.3">
      <c r="A13" s="29"/>
      <c r="B13" s="30"/>
      <c r="C13" s="30"/>
      <c r="D13" s="30"/>
      <c r="E13" s="30"/>
      <c r="F13" s="31"/>
      <c r="G13" s="31"/>
      <c r="H13" s="31"/>
      <c r="I13" s="31"/>
      <c r="J13" s="31"/>
      <c r="K13" s="31"/>
      <c r="L13" s="31"/>
      <c r="M13" s="30"/>
      <c r="N13" s="32"/>
    </row>
    <row r="14" spans="1:14" x14ac:dyDescent="0.3">
      <c r="A14" s="29"/>
      <c r="B14" s="30"/>
      <c r="C14" s="30"/>
      <c r="D14" s="30"/>
      <c r="E14" s="30"/>
      <c r="F14" s="31"/>
      <c r="G14" s="31"/>
      <c r="H14" s="31"/>
      <c r="I14" s="31"/>
      <c r="J14" s="31"/>
      <c r="K14" s="31"/>
      <c r="L14" s="31"/>
      <c r="M14" s="30"/>
      <c r="N14" s="32"/>
    </row>
    <row r="15" spans="1:14" x14ac:dyDescent="0.3">
      <c r="A15" s="26"/>
      <c r="B15" s="27"/>
      <c r="C15" s="27"/>
      <c r="D15" s="27"/>
      <c r="E15" s="27"/>
      <c r="F15" s="20"/>
      <c r="G15" s="20"/>
      <c r="H15" s="20"/>
      <c r="I15" s="20"/>
      <c r="J15" s="20"/>
      <c r="K15" s="20"/>
      <c r="L15" s="20"/>
      <c r="M15" s="27"/>
      <c r="N15" s="28"/>
    </row>
    <row r="16" spans="1:14" x14ac:dyDescent="0.3">
      <c r="A16" s="26"/>
      <c r="B16" s="27"/>
      <c r="C16" s="27"/>
      <c r="D16" s="27"/>
      <c r="E16" s="27"/>
      <c r="F16" s="20"/>
      <c r="G16" s="20"/>
      <c r="H16" s="20"/>
      <c r="I16" s="20"/>
      <c r="J16" s="20"/>
      <c r="K16" s="20"/>
      <c r="L16" s="20"/>
      <c r="M16" s="27"/>
      <c r="N16" s="28"/>
    </row>
    <row r="17" spans="1:16" x14ac:dyDescent="0.3">
      <c r="A17" s="29"/>
      <c r="B17" s="30"/>
      <c r="C17" s="30"/>
      <c r="D17" s="30"/>
      <c r="E17" s="30"/>
      <c r="F17" s="31"/>
      <c r="G17" s="31"/>
      <c r="H17" s="31"/>
      <c r="I17" s="31"/>
      <c r="J17" s="31"/>
      <c r="K17" s="31"/>
      <c r="L17" s="31"/>
      <c r="M17" s="30"/>
      <c r="N17" s="32"/>
    </row>
    <row r="18" spans="1:16" x14ac:dyDescent="0.3">
      <c r="A18" s="29"/>
      <c r="B18" s="30"/>
      <c r="C18" s="30"/>
      <c r="D18" s="30"/>
      <c r="E18" s="30"/>
      <c r="F18" s="31"/>
      <c r="G18" s="31"/>
      <c r="H18" s="31"/>
      <c r="I18" s="31"/>
      <c r="J18" s="31"/>
      <c r="K18" s="31"/>
      <c r="L18" s="31"/>
      <c r="M18" s="30"/>
      <c r="N18" s="32"/>
      <c r="P18"/>
    </row>
    <row r="19" spans="1:16" x14ac:dyDescent="0.3">
      <c r="A19" s="26"/>
      <c r="B19" s="27"/>
      <c r="C19" s="27"/>
      <c r="D19" s="27"/>
      <c r="E19" s="27"/>
      <c r="F19" s="20"/>
      <c r="G19" s="20"/>
      <c r="H19" s="20"/>
      <c r="I19" s="20"/>
      <c r="J19" s="20"/>
      <c r="K19" s="20"/>
      <c r="L19" s="20"/>
      <c r="M19" s="27"/>
      <c r="N19" s="28"/>
    </row>
    <row r="20" spans="1:16" x14ac:dyDescent="0.3">
      <c r="A20" s="26"/>
      <c r="B20" s="27"/>
      <c r="C20" s="27"/>
      <c r="D20" s="27"/>
      <c r="E20" s="27"/>
      <c r="F20" s="20"/>
      <c r="G20" s="20"/>
      <c r="H20" s="20"/>
      <c r="I20" s="20"/>
      <c r="J20" s="20"/>
      <c r="K20" s="20"/>
      <c r="L20" s="20"/>
      <c r="M20" s="27"/>
      <c r="N20" s="28"/>
    </row>
    <row r="21" spans="1:16" x14ac:dyDescent="0.3">
      <c r="A21" s="29"/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0"/>
      <c r="N21" s="32"/>
    </row>
    <row r="22" spans="1:16" x14ac:dyDescent="0.3">
      <c r="A22" s="29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0"/>
      <c r="N22" s="32"/>
    </row>
    <row r="23" spans="1:16" x14ac:dyDescent="0.3">
      <c r="A23" s="26"/>
      <c r="B23" s="27"/>
      <c r="C23" s="27"/>
      <c r="D23" s="27"/>
      <c r="E23" s="27"/>
      <c r="F23" s="20"/>
      <c r="G23" s="20"/>
      <c r="H23" s="20"/>
      <c r="I23" s="20"/>
      <c r="J23" s="20"/>
      <c r="K23" s="20"/>
      <c r="L23" s="20"/>
      <c r="M23" s="27"/>
      <c r="N23" s="28"/>
    </row>
    <row r="24" spans="1:16" x14ac:dyDescent="0.3">
      <c r="A24" s="26"/>
      <c r="B24" s="27"/>
      <c r="C24" s="27"/>
      <c r="D24" s="27"/>
      <c r="E24" s="27"/>
      <c r="F24" s="20"/>
      <c r="G24" s="20"/>
      <c r="H24" s="20"/>
      <c r="I24" s="20"/>
      <c r="J24" s="20"/>
      <c r="K24" s="20"/>
      <c r="L24" s="20"/>
      <c r="M24" s="27"/>
      <c r="N24" s="28"/>
    </row>
    <row r="25" spans="1:16" x14ac:dyDescent="0.3">
      <c r="A25" s="29"/>
      <c r="B25" s="30"/>
      <c r="C25" s="30"/>
      <c r="D25" s="30"/>
      <c r="E25" s="30"/>
      <c r="F25" s="31"/>
      <c r="G25" s="31"/>
      <c r="H25" s="31"/>
      <c r="I25" s="31"/>
      <c r="J25" s="31"/>
      <c r="K25" s="31"/>
      <c r="L25" s="31"/>
      <c r="M25" s="30"/>
      <c r="N25" s="32"/>
    </row>
    <row r="26" spans="1:16" x14ac:dyDescent="0.3">
      <c r="A26" s="29"/>
      <c r="B26" s="30"/>
      <c r="C26" s="30"/>
      <c r="D26" s="30"/>
      <c r="E26" s="30"/>
      <c r="F26" s="31"/>
      <c r="G26" s="31"/>
      <c r="H26" s="31"/>
      <c r="I26" s="31"/>
      <c r="J26" s="31"/>
      <c r="K26" s="31"/>
      <c r="L26" s="31"/>
      <c r="M26" s="30"/>
      <c r="N26" s="32"/>
    </row>
    <row r="27" spans="1:16" x14ac:dyDescent="0.3">
      <c r="A27" s="26"/>
      <c r="B27" s="27"/>
      <c r="C27" s="27"/>
      <c r="D27" s="27"/>
      <c r="E27" s="27"/>
      <c r="F27" s="20"/>
      <c r="G27" s="20"/>
      <c r="H27" s="20"/>
      <c r="I27" s="20"/>
      <c r="J27" s="20"/>
      <c r="K27" s="20"/>
      <c r="L27" s="20"/>
      <c r="M27" s="27"/>
      <c r="N27" s="28"/>
    </row>
    <row r="28" spans="1:16" ht="15" thickBot="1" x14ac:dyDescent="0.35">
      <c r="A28" s="33"/>
      <c r="B28" s="34"/>
      <c r="C28" s="34"/>
      <c r="D28" s="34"/>
      <c r="E28" s="34"/>
      <c r="F28" s="21"/>
      <c r="G28" s="21"/>
      <c r="H28" s="21"/>
      <c r="I28" s="21"/>
      <c r="J28" s="21"/>
      <c r="K28" s="21"/>
      <c r="L28" s="21"/>
      <c r="M28" s="34"/>
      <c r="N28" s="35"/>
    </row>
  </sheetData>
  <mergeCells count="11">
    <mergeCell ref="A3:A5"/>
    <mergeCell ref="G3:G5"/>
    <mergeCell ref="H3:N3"/>
    <mergeCell ref="H4:N4"/>
    <mergeCell ref="H5:N5"/>
    <mergeCell ref="A1:B1"/>
    <mergeCell ref="C1:G1"/>
    <mergeCell ref="I1:L1"/>
    <mergeCell ref="M1:N2"/>
    <mergeCell ref="B2:C2"/>
    <mergeCell ref="K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4AC2-F2BD-4E29-9288-A591CBA1F41A}">
  <dimension ref="A1:Y75"/>
  <sheetViews>
    <sheetView topLeftCell="G1" zoomScale="145" zoomScaleNormal="145" workbookViewId="0">
      <selection activeCell="D99" sqref="D99"/>
    </sheetView>
  </sheetViews>
  <sheetFormatPr defaultRowHeight="14.4" x14ac:dyDescent="0.3"/>
  <cols>
    <col min="1" max="5" width="15.5546875" style="2" customWidth="1"/>
    <col min="6" max="10" width="15.5546875" style="1" customWidth="1"/>
    <col min="11" max="15" width="15.5546875" style="2" customWidth="1"/>
    <col min="16" max="20" width="14.33203125" style="2" customWidth="1"/>
    <col min="21" max="25" width="9.109375" style="2"/>
  </cols>
  <sheetData>
    <row r="1" spans="1:14" ht="15" thickBot="1" x14ac:dyDescent="0.35">
      <c r="A1" s="61" t="s">
        <v>40</v>
      </c>
      <c r="B1" s="62"/>
      <c r="C1" s="63" t="s">
        <v>57</v>
      </c>
      <c r="D1" s="64"/>
      <c r="E1" s="64"/>
      <c r="F1" s="64"/>
      <c r="G1" s="65"/>
      <c r="H1" s="5"/>
      <c r="I1" s="87" t="s">
        <v>51</v>
      </c>
      <c r="J1" s="88"/>
      <c r="K1" s="88"/>
      <c r="L1" s="89"/>
      <c r="M1" s="78" t="s">
        <v>37</v>
      </c>
      <c r="N1" s="79"/>
    </row>
    <row r="2" spans="1:14" ht="15" thickBot="1" x14ac:dyDescent="0.35">
      <c r="A2" s="39" t="s">
        <v>41</v>
      </c>
      <c r="B2" s="63">
        <v>111222</v>
      </c>
      <c r="C2" s="65"/>
      <c r="D2" s="40" t="s">
        <v>42</v>
      </c>
      <c r="E2" s="41">
        <v>45376</v>
      </c>
      <c r="F2" s="6"/>
      <c r="G2" s="6"/>
      <c r="H2" s="6"/>
      <c r="I2" s="59" t="s">
        <v>42</v>
      </c>
      <c r="J2" s="36">
        <v>45379</v>
      </c>
      <c r="K2" s="82" t="s">
        <v>39</v>
      </c>
      <c r="L2" s="83"/>
      <c r="M2" s="80"/>
      <c r="N2" s="81"/>
    </row>
    <row r="3" spans="1:14" x14ac:dyDescent="0.3">
      <c r="A3" s="66" t="s">
        <v>10</v>
      </c>
      <c r="B3" s="38" t="s">
        <v>11</v>
      </c>
      <c r="C3" s="37" t="s">
        <v>47</v>
      </c>
      <c r="D3" s="8" t="s">
        <v>14</v>
      </c>
      <c r="E3" s="8" t="s">
        <v>19</v>
      </c>
      <c r="F3" s="60" t="s">
        <v>52</v>
      </c>
      <c r="G3" s="69" t="s">
        <v>31</v>
      </c>
      <c r="H3" s="84" t="s">
        <v>32</v>
      </c>
      <c r="I3" s="85"/>
      <c r="J3" s="85"/>
      <c r="K3" s="85"/>
      <c r="L3" s="85"/>
      <c r="M3" s="85"/>
      <c r="N3" s="86"/>
    </row>
    <row r="4" spans="1:14" ht="15" thickBot="1" x14ac:dyDescent="0.35">
      <c r="A4" s="67"/>
      <c r="B4" s="11" t="s">
        <v>13</v>
      </c>
      <c r="C4" s="12" t="s">
        <v>48</v>
      </c>
      <c r="D4" s="12" t="s">
        <v>15</v>
      </c>
      <c r="E4" s="12" t="s">
        <v>20</v>
      </c>
      <c r="F4" s="13" t="s">
        <v>53</v>
      </c>
      <c r="G4" s="70"/>
      <c r="H4" s="72" t="s">
        <v>50</v>
      </c>
      <c r="I4" s="73"/>
      <c r="J4" s="73"/>
      <c r="K4" s="73"/>
      <c r="L4" s="73"/>
      <c r="M4" s="73"/>
      <c r="N4" s="74"/>
    </row>
    <row r="5" spans="1:14" ht="15" thickBot="1" x14ac:dyDescent="0.35">
      <c r="A5" s="68"/>
      <c r="B5" s="17">
        <v>0.6</v>
      </c>
      <c r="C5" s="18">
        <v>3.5000000000000003E-2</v>
      </c>
      <c r="D5" s="18">
        <v>9.81</v>
      </c>
      <c r="E5" s="18">
        <v>0.6</v>
      </c>
      <c r="F5" s="19" t="s">
        <v>53</v>
      </c>
      <c r="G5" s="71"/>
      <c r="H5" s="75"/>
      <c r="I5" s="76"/>
      <c r="J5" s="76"/>
      <c r="K5" s="76"/>
      <c r="L5" s="76"/>
      <c r="M5" s="76"/>
      <c r="N5" s="77"/>
    </row>
    <row r="6" spans="1:14" x14ac:dyDescent="0.3">
      <c r="A6" s="3"/>
      <c r="B6" s="3"/>
      <c r="C6" s="3"/>
      <c r="D6" s="3"/>
      <c r="E6" s="3"/>
      <c r="F6" s="4"/>
      <c r="G6" s="4"/>
      <c r="H6" s="4"/>
      <c r="I6" s="4"/>
      <c r="J6" s="4"/>
      <c r="K6" s="3"/>
      <c r="L6" s="3"/>
      <c r="M6" s="3"/>
      <c r="N6" s="3"/>
    </row>
    <row r="7" spans="1:14" ht="15" thickBot="1" x14ac:dyDescent="0.35">
      <c r="A7" s="3"/>
      <c r="B7" s="3"/>
      <c r="C7" s="3"/>
      <c r="D7" s="3"/>
      <c r="E7" s="3"/>
      <c r="F7" s="4"/>
      <c r="G7" s="4"/>
      <c r="H7" s="4"/>
      <c r="I7" s="4"/>
      <c r="J7" s="4"/>
      <c r="K7" s="3"/>
      <c r="L7" s="3"/>
      <c r="M7" s="3"/>
      <c r="N7" s="3"/>
    </row>
    <row r="8" spans="1:14" x14ac:dyDescent="0.3">
      <c r="A8" s="7" t="s">
        <v>4</v>
      </c>
      <c r="B8" s="8" t="s">
        <v>18</v>
      </c>
      <c r="C8" s="8" t="s">
        <v>16</v>
      </c>
      <c r="D8" s="8" t="s">
        <v>6</v>
      </c>
      <c r="E8" s="8" t="s">
        <v>7</v>
      </c>
      <c r="F8" s="8" t="s">
        <v>25</v>
      </c>
      <c r="G8" s="8" t="s">
        <v>0</v>
      </c>
      <c r="H8" s="8" t="s">
        <v>21</v>
      </c>
      <c r="I8" s="8" t="s">
        <v>26</v>
      </c>
      <c r="J8" s="8" t="s">
        <v>27</v>
      </c>
      <c r="K8" s="8" t="s">
        <v>33</v>
      </c>
      <c r="L8" s="8" t="s">
        <v>35</v>
      </c>
      <c r="M8" s="8" t="s">
        <v>1</v>
      </c>
      <c r="N8" s="9" t="s">
        <v>3</v>
      </c>
    </row>
    <row r="9" spans="1:14" x14ac:dyDescent="0.3">
      <c r="A9" s="14" t="s">
        <v>5</v>
      </c>
      <c r="B9" s="15" t="s">
        <v>12</v>
      </c>
      <c r="C9" s="15" t="s">
        <v>17</v>
      </c>
      <c r="D9" s="15" t="s">
        <v>8</v>
      </c>
      <c r="E9" s="15" t="s">
        <v>8</v>
      </c>
      <c r="F9" s="15" t="s">
        <v>9</v>
      </c>
      <c r="G9" s="15" t="s">
        <v>43</v>
      </c>
      <c r="H9" s="15" t="s">
        <v>46</v>
      </c>
      <c r="I9" s="15" t="s">
        <v>44</v>
      </c>
      <c r="J9" s="15" t="s">
        <v>28</v>
      </c>
      <c r="K9" s="15" t="s">
        <v>34</v>
      </c>
      <c r="L9" s="15" t="s">
        <v>56</v>
      </c>
      <c r="M9" s="15" t="s">
        <v>2</v>
      </c>
      <c r="N9" s="16" t="s">
        <v>29</v>
      </c>
    </row>
    <row r="10" spans="1:14" ht="15" thickBot="1" x14ac:dyDescent="0.35">
      <c r="A10" s="42" t="s">
        <v>22</v>
      </c>
      <c r="B10" s="43" t="s">
        <v>22</v>
      </c>
      <c r="C10" s="43" t="s">
        <v>54</v>
      </c>
      <c r="D10" s="43" t="s">
        <v>22</v>
      </c>
      <c r="E10" s="43" t="s">
        <v>22</v>
      </c>
      <c r="F10" s="43" t="s">
        <v>23</v>
      </c>
      <c r="G10" s="43" t="s">
        <v>22</v>
      </c>
      <c r="H10" s="43" t="s">
        <v>24</v>
      </c>
      <c r="I10" s="43" t="s">
        <v>49</v>
      </c>
      <c r="J10" s="44" t="s">
        <v>55</v>
      </c>
      <c r="K10" s="44" t="s">
        <v>22</v>
      </c>
      <c r="L10" s="44" t="s">
        <v>22</v>
      </c>
      <c r="M10" s="43" t="s">
        <v>36</v>
      </c>
      <c r="N10" s="45" t="s">
        <v>30</v>
      </c>
    </row>
    <row r="11" spans="1:14" x14ac:dyDescent="0.3">
      <c r="A11" s="22">
        <v>192</v>
      </c>
      <c r="B11" s="50">
        <v>0.38</v>
      </c>
      <c r="C11" s="23">
        <f>A11*(B11+B5)</f>
        <v>188.16</v>
      </c>
      <c r="D11" s="23">
        <v>0.23</v>
      </c>
      <c r="E11" s="23">
        <v>0.29499999999999998</v>
      </c>
      <c r="F11" s="24">
        <f>(D11+E11)*9.81</f>
        <v>5.1502500000000007</v>
      </c>
      <c r="G11" s="24">
        <v>1442</v>
      </c>
      <c r="H11" s="24">
        <f>F11*E5</f>
        <v>3.0901500000000004</v>
      </c>
      <c r="I11" s="24">
        <f>H11*0.035</f>
        <v>0.10815525000000002</v>
      </c>
      <c r="J11" s="24">
        <f>(2*3.14*G11*I11)/60</f>
        <v>16.323799779000005</v>
      </c>
      <c r="K11" s="24">
        <v>0</v>
      </c>
      <c r="L11" s="24">
        <v>1</v>
      </c>
      <c r="M11" s="23">
        <f>(J11*L11)/C11</f>
        <v>8.6754888281250025E-2</v>
      </c>
      <c r="N11" s="25">
        <f>M11*100</f>
        <v>8.6754888281250029</v>
      </c>
    </row>
    <row r="12" spans="1:14" x14ac:dyDescent="0.3">
      <c r="A12" s="26">
        <v>192</v>
      </c>
      <c r="B12" s="51">
        <v>0.55000000000000004</v>
      </c>
      <c r="C12" s="27">
        <f>A11*(B12+B5)</f>
        <v>220.79999999999998</v>
      </c>
      <c r="D12" s="27">
        <v>0.47</v>
      </c>
      <c r="E12" s="27">
        <v>0.6</v>
      </c>
      <c r="F12" s="24">
        <f>(D12+E12)*9.81</f>
        <v>10.496699999999999</v>
      </c>
      <c r="G12" s="20">
        <v>1432</v>
      </c>
      <c r="H12" s="20">
        <f>F12*E5</f>
        <v>6.2980199999999993</v>
      </c>
      <c r="I12" s="24">
        <f t="shared" ref="I12:I18" si="0">H12*0.035</f>
        <v>0.22043070000000001</v>
      </c>
      <c r="J12" s="24">
        <f t="shared" ref="J12:J18" si="1">(2*3.14*G12*I12)/60</f>
        <v>33.038741131200005</v>
      </c>
      <c r="K12" s="20">
        <v>0</v>
      </c>
      <c r="L12" s="20">
        <v>1</v>
      </c>
      <c r="M12" s="23">
        <f t="shared" ref="M12:M18" si="2">(J12*L12)/C12</f>
        <v>0.14963197976086959</v>
      </c>
      <c r="N12" s="25">
        <f t="shared" ref="N12:N18" si="3">M12*100</f>
        <v>14.963197976086958</v>
      </c>
    </row>
    <row r="13" spans="1:14" x14ac:dyDescent="0.3">
      <c r="A13" s="29">
        <v>192</v>
      </c>
      <c r="B13" s="52">
        <v>0.65</v>
      </c>
      <c r="C13" s="30">
        <f>A11*(B13+B5)</f>
        <v>240</v>
      </c>
      <c r="D13" s="30">
        <v>0.71</v>
      </c>
      <c r="E13" s="30">
        <v>0.82</v>
      </c>
      <c r="F13" s="54">
        <f t="shared" ref="F13:F18" si="4">(D13+E13)*9.81</f>
        <v>15.0093</v>
      </c>
      <c r="G13" s="31">
        <v>1450</v>
      </c>
      <c r="H13" s="31">
        <f>F13*E5</f>
        <v>9.0055800000000001</v>
      </c>
      <c r="I13" s="54">
        <f t="shared" si="0"/>
        <v>0.31519530000000001</v>
      </c>
      <c r="J13" s="54">
        <f t="shared" si="1"/>
        <v>47.836140030000003</v>
      </c>
      <c r="K13" s="31">
        <v>0</v>
      </c>
      <c r="L13" s="31">
        <v>1</v>
      </c>
      <c r="M13" s="56">
        <f t="shared" si="2"/>
        <v>0.19931725012500001</v>
      </c>
      <c r="N13" s="57">
        <f t="shared" si="3"/>
        <v>19.931725012500003</v>
      </c>
    </row>
    <row r="14" spans="1:14" x14ac:dyDescent="0.3">
      <c r="A14" s="29">
        <v>192</v>
      </c>
      <c r="B14" s="52">
        <v>0.8</v>
      </c>
      <c r="C14" s="30">
        <f>A11*(B14+B5)</f>
        <v>268.79999999999995</v>
      </c>
      <c r="D14" s="30">
        <v>0.93499999999999994</v>
      </c>
      <c r="E14" s="30">
        <v>1.0649999999999999</v>
      </c>
      <c r="F14" s="54">
        <f t="shared" si="4"/>
        <v>19.62</v>
      </c>
      <c r="G14" s="31">
        <v>1432</v>
      </c>
      <c r="H14" s="31">
        <f>F14*E5</f>
        <v>11.772</v>
      </c>
      <c r="I14" s="54">
        <f t="shared" si="0"/>
        <v>0.41202000000000005</v>
      </c>
      <c r="J14" s="54">
        <f t="shared" si="1"/>
        <v>61.754656320000009</v>
      </c>
      <c r="K14" s="31">
        <v>0</v>
      </c>
      <c r="L14" s="31">
        <v>1</v>
      </c>
      <c r="M14" s="56">
        <f t="shared" si="2"/>
        <v>0.22974202500000007</v>
      </c>
      <c r="N14" s="57">
        <f t="shared" si="3"/>
        <v>22.974202500000008</v>
      </c>
    </row>
    <row r="15" spans="1:14" x14ac:dyDescent="0.3">
      <c r="A15" s="26">
        <v>192</v>
      </c>
      <c r="B15" s="51">
        <v>1</v>
      </c>
      <c r="C15" s="27">
        <f>A11*(B15+B5)</f>
        <v>307.20000000000005</v>
      </c>
      <c r="D15" s="27">
        <v>1.2249999999999999</v>
      </c>
      <c r="E15" s="27">
        <v>1.4449999999999998</v>
      </c>
      <c r="F15" s="24">
        <f t="shared" si="4"/>
        <v>26.192700000000002</v>
      </c>
      <c r="G15" s="20">
        <v>1400</v>
      </c>
      <c r="H15" s="20">
        <f>F15*E5</f>
        <v>15.715620000000001</v>
      </c>
      <c r="I15" s="24">
        <f t="shared" si="0"/>
        <v>0.55004670000000011</v>
      </c>
      <c r="J15" s="24">
        <f t="shared" si="1"/>
        <v>80.600176440000013</v>
      </c>
      <c r="K15" s="20">
        <v>0</v>
      </c>
      <c r="L15" s="20">
        <v>1</v>
      </c>
      <c r="M15" s="23">
        <f t="shared" si="2"/>
        <v>0.26237036601562502</v>
      </c>
      <c r="N15" s="25">
        <f t="shared" si="3"/>
        <v>26.237036601562501</v>
      </c>
    </row>
    <row r="16" spans="1:14" x14ac:dyDescent="0.3">
      <c r="A16" s="26">
        <v>192</v>
      </c>
      <c r="B16" s="51">
        <v>1.1200000000000001</v>
      </c>
      <c r="C16" s="27">
        <f>A11*(B16+B5)</f>
        <v>330.24</v>
      </c>
      <c r="D16" s="27">
        <v>1.5099999999999998</v>
      </c>
      <c r="E16" s="27">
        <v>1.8049999999999997</v>
      </c>
      <c r="F16" s="24">
        <f t="shared" si="4"/>
        <v>32.520149999999994</v>
      </c>
      <c r="G16" s="20">
        <v>1394</v>
      </c>
      <c r="H16" s="20">
        <f>F16*E5</f>
        <v>19.512089999999997</v>
      </c>
      <c r="I16" s="24">
        <f t="shared" si="0"/>
        <v>0.68292314999999992</v>
      </c>
      <c r="J16" s="24">
        <f t="shared" si="1"/>
        <v>99.642129841799985</v>
      </c>
      <c r="K16" s="20">
        <v>0</v>
      </c>
      <c r="L16" s="20">
        <v>1</v>
      </c>
      <c r="M16" s="23">
        <f t="shared" si="2"/>
        <v>0.30172641061591565</v>
      </c>
      <c r="N16" s="25">
        <f t="shared" si="3"/>
        <v>30.172641061591566</v>
      </c>
    </row>
    <row r="17" spans="1:16" x14ac:dyDescent="0.3">
      <c r="A17" s="29">
        <v>192</v>
      </c>
      <c r="B17" s="52">
        <v>1.3</v>
      </c>
      <c r="C17" s="30">
        <f>A11*(B17+B5)</f>
        <v>364.79999999999995</v>
      </c>
      <c r="D17" s="30">
        <v>1.8149999999999997</v>
      </c>
      <c r="E17" s="30">
        <v>2.4249999999999998</v>
      </c>
      <c r="F17" s="54">
        <f t="shared" si="4"/>
        <v>41.594399999999993</v>
      </c>
      <c r="G17" s="31">
        <v>1354</v>
      </c>
      <c r="H17" s="31">
        <f>F17*E5</f>
        <v>24.956639999999997</v>
      </c>
      <c r="I17" s="54">
        <f t="shared" si="0"/>
        <v>0.87348239999999999</v>
      </c>
      <c r="J17" s="54">
        <f t="shared" si="1"/>
        <v>123.7887610848</v>
      </c>
      <c r="K17" s="31">
        <v>0</v>
      </c>
      <c r="L17" s="31">
        <v>1</v>
      </c>
      <c r="M17" s="56">
        <f t="shared" si="2"/>
        <v>0.33933322665789478</v>
      </c>
      <c r="N17" s="57">
        <f t="shared" si="3"/>
        <v>33.933322665789476</v>
      </c>
    </row>
    <row r="18" spans="1:16" x14ac:dyDescent="0.3">
      <c r="A18" s="29">
        <v>192</v>
      </c>
      <c r="B18" s="52">
        <v>1.7</v>
      </c>
      <c r="C18" s="30">
        <f>A11*(B18+B5)</f>
        <v>441.59999999999997</v>
      </c>
      <c r="D18" s="30">
        <v>1.8999999999999997</v>
      </c>
      <c r="E18" s="30">
        <v>2.4449999999999998</v>
      </c>
      <c r="F18" s="54">
        <f t="shared" si="4"/>
        <v>42.624450000000003</v>
      </c>
      <c r="G18" s="31">
        <v>1352</v>
      </c>
      <c r="H18" s="31">
        <f>F18*E5</f>
        <v>25.574670000000001</v>
      </c>
      <c r="I18" s="54">
        <f t="shared" si="0"/>
        <v>0.89511345000000009</v>
      </c>
      <c r="J18" s="54">
        <f t="shared" si="1"/>
        <v>126.66690756720001</v>
      </c>
      <c r="K18" s="31">
        <v>0</v>
      </c>
      <c r="L18" s="31">
        <v>1</v>
      </c>
      <c r="M18" s="56">
        <f t="shared" si="2"/>
        <v>0.28683629430978264</v>
      </c>
      <c r="N18" s="57">
        <f t="shared" si="3"/>
        <v>28.683629430978264</v>
      </c>
      <c r="P18"/>
    </row>
    <row r="19" spans="1:16" x14ac:dyDescent="0.3">
      <c r="A19" s="26"/>
      <c r="B19" s="27"/>
      <c r="C19" s="27"/>
      <c r="D19" s="27"/>
      <c r="E19" s="27"/>
      <c r="F19" s="24"/>
      <c r="G19" s="20"/>
      <c r="H19" s="20"/>
      <c r="I19" s="24"/>
      <c r="J19" s="24"/>
      <c r="K19" s="20"/>
      <c r="L19" s="20"/>
      <c r="M19" s="23"/>
      <c r="N19" s="25"/>
    </row>
    <row r="20" spans="1:16" x14ac:dyDescent="0.3">
      <c r="A20" s="26"/>
      <c r="B20" s="27"/>
      <c r="C20" s="27"/>
      <c r="D20" s="27"/>
      <c r="E20" s="27"/>
      <c r="F20" s="24"/>
      <c r="G20" s="20"/>
      <c r="H20" s="20"/>
      <c r="I20" s="24"/>
      <c r="J20" s="24"/>
      <c r="K20" s="20"/>
      <c r="L20" s="20"/>
      <c r="M20" s="23"/>
      <c r="N20" s="25"/>
    </row>
    <row r="21" spans="1:16" x14ac:dyDescent="0.3">
      <c r="A21" s="29"/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0"/>
      <c r="N21" s="32"/>
    </row>
    <row r="22" spans="1:16" x14ac:dyDescent="0.3">
      <c r="A22" s="29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0"/>
      <c r="N22" s="32"/>
    </row>
    <row r="23" spans="1:16" x14ac:dyDescent="0.3">
      <c r="A23" s="26"/>
      <c r="B23" s="27"/>
      <c r="C23" s="27"/>
      <c r="D23" s="27"/>
      <c r="E23" s="27"/>
      <c r="F23" s="20"/>
      <c r="G23" s="20"/>
      <c r="H23" s="20"/>
      <c r="I23" s="20"/>
      <c r="J23" s="20"/>
      <c r="K23" s="20"/>
      <c r="L23" s="20"/>
      <c r="M23" s="27"/>
      <c r="N23" s="28"/>
    </row>
    <row r="24" spans="1:16" x14ac:dyDescent="0.3">
      <c r="A24" s="26"/>
      <c r="B24" s="27"/>
      <c r="C24" s="27"/>
      <c r="D24" s="27"/>
      <c r="E24" s="27"/>
      <c r="F24" s="20"/>
      <c r="G24" s="20"/>
      <c r="H24" s="20"/>
      <c r="I24" s="20"/>
      <c r="J24" s="20"/>
      <c r="K24" s="20"/>
      <c r="L24" s="20"/>
      <c r="M24" s="27"/>
      <c r="N24" s="28"/>
    </row>
    <row r="25" spans="1:16" x14ac:dyDescent="0.3">
      <c r="A25" s="29"/>
      <c r="B25" s="30"/>
      <c r="C25" s="30"/>
      <c r="D25" s="30"/>
      <c r="E25" s="30"/>
      <c r="F25" s="31"/>
      <c r="G25" s="31"/>
      <c r="H25" s="31"/>
      <c r="I25" s="31"/>
      <c r="J25" s="31"/>
      <c r="K25" s="31"/>
      <c r="L25" s="31"/>
      <c r="M25" s="30"/>
      <c r="N25" s="32"/>
    </row>
    <row r="26" spans="1:16" x14ac:dyDescent="0.3">
      <c r="A26" s="29"/>
      <c r="B26" s="30"/>
      <c r="C26" s="30"/>
      <c r="D26" s="30"/>
      <c r="E26" s="30"/>
      <c r="F26" s="31"/>
      <c r="G26" s="31"/>
      <c r="H26" s="31"/>
      <c r="I26" s="31"/>
      <c r="J26" s="31"/>
      <c r="K26" s="31"/>
      <c r="L26" s="31"/>
      <c r="M26" s="30"/>
      <c r="N26" s="32"/>
    </row>
    <row r="27" spans="1:16" x14ac:dyDescent="0.3">
      <c r="A27" s="26"/>
      <c r="B27" s="27"/>
      <c r="C27" s="27"/>
      <c r="D27" s="27"/>
      <c r="E27" s="27"/>
      <c r="F27" s="20"/>
      <c r="G27" s="20"/>
      <c r="H27" s="20"/>
      <c r="I27" s="20"/>
      <c r="J27" s="20"/>
      <c r="K27" s="20"/>
      <c r="L27" s="20"/>
      <c r="M27" s="27"/>
      <c r="N27" s="28"/>
    </row>
    <row r="28" spans="1:16" ht="15" thickBot="1" x14ac:dyDescent="0.35">
      <c r="A28" s="33"/>
      <c r="B28" s="34"/>
      <c r="C28" s="34"/>
      <c r="D28" s="34"/>
      <c r="E28" s="34"/>
      <c r="F28" s="21"/>
      <c r="G28" s="21"/>
      <c r="H28" s="21"/>
      <c r="I28" s="21"/>
      <c r="J28" s="21"/>
      <c r="K28" s="21"/>
      <c r="L28" s="21"/>
      <c r="M28" s="34"/>
      <c r="N28" s="35"/>
    </row>
    <row r="37" spans="3:6" x14ac:dyDescent="0.3">
      <c r="C37"/>
    </row>
    <row r="38" spans="3:6" x14ac:dyDescent="0.3">
      <c r="F38"/>
    </row>
    <row r="45" spans="3:6" x14ac:dyDescent="0.3">
      <c r="F45"/>
    </row>
    <row r="49" spans="2:11" x14ac:dyDescent="0.3">
      <c r="C49"/>
      <c r="J49"/>
    </row>
    <row r="51" spans="2:11" x14ac:dyDescent="0.3">
      <c r="J51"/>
    </row>
    <row r="52" spans="2:11" x14ac:dyDescent="0.3">
      <c r="F52"/>
      <c r="K52"/>
    </row>
    <row r="61" spans="2:11" x14ac:dyDescent="0.3">
      <c r="B61"/>
    </row>
    <row r="64" spans="2:11" x14ac:dyDescent="0.3">
      <c r="F64"/>
    </row>
    <row r="74" spans="2:2" x14ac:dyDescent="0.3">
      <c r="B74"/>
    </row>
    <row r="75" spans="2:2" x14ac:dyDescent="0.3">
      <c r="B75"/>
    </row>
  </sheetData>
  <mergeCells count="11">
    <mergeCell ref="H4:N4"/>
    <mergeCell ref="H5:N5"/>
    <mergeCell ref="M1:N2"/>
    <mergeCell ref="K2:L2"/>
    <mergeCell ref="H3:N3"/>
    <mergeCell ref="I1:L1"/>
    <mergeCell ref="A1:B1"/>
    <mergeCell ref="C1:G1"/>
    <mergeCell ref="B2:C2"/>
    <mergeCell ref="A3:A5"/>
    <mergeCell ref="G3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138A-D68D-4D53-85AF-89D52F5F7A0B}">
  <dimension ref="A1:Y86"/>
  <sheetViews>
    <sheetView topLeftCell="A54" zoomScaleNormal="100" workbookViewId="0">
      <selection activeCell="P16" sqref="P16"/>
    </sheetView>
  </sheetViews>
  <sheetFormatPr defaultRowHeight="14.4" x14ac:dyDescent="0.3"/>
  <cols>
    <col min="1" max="5" width="15.5546875" style="2" customWidth="1"/>
    <col min="6" max="10" width="15.5546875" style="1" customWidth="1"/>
    <col min="11" max="15" width="15.5546875" style="2" customWidth="1"/>
    <col min="16" max="20" width="14.33203125" style="2" customWidth="1"/>
    <col min="21" max="25" width="8.88671875" style="2"/>
  </cols>
  <sheetData>
    <row r="1" spans="1:14" ht="15" thickBot="1" x14ac:dyDescent="0.35">
      <c r="A1" s="61" t="s">
        <v>40</v>
      </c>
      <c r="B1" s="62"/>
      <c r="C1" s="63" t="s">
        <v>45</v>
      </c>
      <c r="D1" s="64"/>
      <c r="E1" s="64"/>
      <c r="F1" s="64"/>
      <c r="G1" s="65"/>
      <c r="H1" s="5"/>
      <c r="I1" s="5"/>
      <c r="J1" s="90" t="s">
        <v>38</v>
      </c>
      <c r="K1" s="91"/>
      <c r="L1" s="92"/>
      <c r="M1" s="78" t="s">
        <v>37</v>
      </c>
      <c r="N1" s="79"/>
    </row>
    <row r="2" spans="1:14" ht="15" thickBot="1" x14ac:dyDescent="0.35">
      <c r="A2" s="39" t="s">
        <v>41</v>
      </c>
      <c r="B2" s="63">
        <v>112233</v>
      </c>
      <c r="C2" s="65"/>
      <c r="D2" s="40" t="s">
        <v>42</v>
      </c>
      <c r="E2" s="41">
        <v>45379</v>
      </c>
      <c r="F2" s="6"/>
      <c r="G2" s="6"/>
      <c r="H2" s="6"/>
      <c r="I2" s="6"/>
      <c r="J2" s="36">
        <v>45376</v>
      </c>
      <c r="K2" s="82" t="s">
        <v>39</v>
      </c>
      <c r="L2" s="83"/>
      <c r="M2" s="80"/>
      <c r="N2" s="81"/>
    </row>
    <row r="3" spans="1:14" x14ac:dyDescent="0.3">
      <c r="A3" s="66" t="s">
        <v>10</v>
      </c>
      <c r="B3" s="38" t="s">
        <v>11</v>
      </c>
      <c r="C3" s="37" t="s">
        <v>47</v>
      </c>
      <c r="D3" s="8" t="s">
        <v>14</v>
      </c>
      <c r="E3" s="8" t="s">
        <v>19</v>
      </c>
      <c r="F3" s="10"/>
      <c r="G3" s="69" t="s">
        <v>31</v>
      </c>
      <c r="H3" s="84" t="s">
        <v>32</v>
      </c>
      <c r="I3" s="85"/>
      <c r="J3" s="85"/>
      <c r="K3" s="85"/>
      <c r="L3" s="85"/>
      <c r="M3" s="85"/>
      <c r="N3" s="86"/>
    </row>
    <row r="4" spans="1:14" ht="15" thickBot="1" x14ac:dyDescent="0.35">
      <c r="A4" s="67"/>
      <c r="B4" s="11" t="s">
        <v>13</v>
      </c>
      <c r="C4" s="12" t="s">
        <v>48</v>
      </c>
      <c r="D4" s="12" t="s">
        <v>15</v>
      </c>
      <c r="E4" s="12" t="s">
        <v>20</v>
      </c>
      <c r="F4" s="13"/>
      <c r="G4" s="70"/>
      <c r="H4" s="72"/>
      <c r="I4" s="73"/>
      <c r="J4" s="73"/>
      <c r="K4" s="73"/>
      <c r="L4" s="73"/>
      <c r="M4" s="73"/>
      <c r="N4" s="74"/>
    </row>
    <row r="5" spans="1:14" ht="15" thickBot="1" x14ac:dyDescent="0.35">
      <c r="A5" s="68"/>
      <c r="B5" s="17">
        <v>0.6</v>
      </c>
      <c r="C5" s="18">
        <v>3.5000000000000003E-2</v>
      </c>
      <c r="D5" s="18">
        <v>9.81</v>
      </c>
      <c r="E5" s="18">
        <v>0.6</v>
      </c>
      <c r="F5" s="19"/>
      <c r="G5" s="71"/>
      <c r="H5" s="75"/>
      <c r="I5" s="76"/>
      <c r="J5" s="76"/>
      <c r="K5" s="76"/>
      <c r="L5" s="76"/>
      <c r="M5" s="76"/>
      <c r="N5" s="77"/>
    </row>
    <row r="6" spans="1:14" x14ac:dyDescent="0.3">
      <c r="A6" s="3"/>
      <c r="B6" s="3"/>
      <c r="C6" s="3"/>
      <c r="D6" s="3"/>
      <c r="E6" s="3"/>
      <c r="F6" s="4"/>
      <c r="G6" s="4"/>
      <c r="H6" s="4"/>
      <c r="I6" s="4"/>
      <c r="J6" s="4"/>
      <c r="K6" s="3"/>
      <c r="L6" s="3"/>
      <c r="M6" s="3"/>
      <c r="N6" s="3"/>
    </row>
    <row r="7" spans="1:14" ht="15" thickBot="1" x14ac:dyDescent="0.35">
      <c r="A7" s="3"/>
      <c r="B7" s="3"/>
      <c r="C7" s="3"/>
      <c r="D7" s="3"/>
      <c r="E7" s="3"/>
      <c r="F7" s="4"/>
      <c r="G7" s="4"/>
      <c r="H7" s="4"/>
      <c r="I7" s="4"/>
      <c r="J7" s="4"/>
      <c r="K7" s="3"/>
      <c r="L7" s="3"/>
      <c r="M7" s="3"/>
      <c r="N7" s="3"/>
    </row>
    <row r="8" spans="1:14" x14ac:dyDescent="0.3">
      <c r="A8" s="7" t="s">
        <v>4</v>
      </c>
      <c r="B8" s="8" t="s">
        <v>18</v>
      </c>
      <c r="C8" s="8" t="s">
        <v>16</v>
      </c>
      <c r="D8" s="8" t="s">
        <v>6</v>
      </c>
      <c r="E8" s="8" t="s">
        <v>7</v>
      </c>
      <c r="F8" s="8" t="s">
        <v>25</v>
      </c>
      <c r="G8" s="8" t="s">
        <v>0</v>
      </c>
      <c r="H8" s="8" t="s">
        <v>21</v>
      </c>
      <c r="I8" s="8" t="s">
        <v>26</v>
      </c>
      <c r="J8" s="8" t="s">
        <v>27</v>
      </c>
      <c r="K8" s="8" t="s">
        <v>33</v>
      </c>
      <c r="L8" s="8" t="s">
        <v>35</v>
      </c>
      <c r="M8" s="8" t="s">
        <v>1</v>
      </c>
      <c r="N8" s="9" t="s">
        <v>3</v>
      </c>
    </row>
    <row r="9" spans="1:14" x14ac:dyDescent="0.3">
      <c r="A9" s="14" t="s">
        <v>5</v>
      </c>
      <c r="B9" s="15" t="s">
        <v>12</v>
      </c>
      <c r="C9" s="15" t="s">
        <v>17</v>
      </c>
      <c r="D9" s="15" t="s">
        <v>8</v>
      </c>
      <c r="E9" s="15" t="s">
        <v>8</v>
      </c>
      <c r="F9" s="15" t="s">
        <v>9</v>
      </c>
      <c r="G9" s="15" t="s">
        <v>43</v>
      </c>
      <c r="H9" s="15" t="s">
        <v>46</v>
      </c>
      <c r="I9" s="15" t="s">
        <v>44</v>
      </c>
      <c r="J9" s="15" t="s">
        <v>28</v>
      </c>
      <c r="K9" s="15" t="s">
        <v>34</v>
      </c>
      <c r="L9" s="15" t="s">
        <v>56</v>
      </c>
      <c r="M9" s="15" t="s">
        <v>2</v>
      </c>
      <c r="N9" s="16" t="s">
        <v>29</v>
      </c>
    </row>
    <row r="10" spans="1:14" ht="15" thickBot="1" x14ac:dyDescent="0.35">
      <c r="A10" s="42" t="s">
        <v>22</v>
      </c>
      <c r="B10" s="43" t="s">
        <v>22</v>
      </c>
      <c r="C10" s="43" t="s">
        <v>54</v>
      </c>
      <c r="D10" s="43" t="s">
        <v>22</v>
      </c>
      <c r="E10" s="43" t="s">
        <v>22</v>
      </c>
      <c r="F10" s="43" t="s">
        <v>23</v>
      </c>
      <c r="G10" s="43" t="s">
        <v>22</v>
      </c>
      <c r="H10" s="43" t="s">
        <v>24</v>
      </c>
      <c r="I10" s="43" t="s">
        <v>49</v>
      </c>
      <c r="J10" s="44" t="s">
        <v>55</v>
      </c>
      <c r="K10" s="44" t="s">
        <v>22</v>
      </c>
      <c r="L10" s="44" t="s">
        <v>22</v>
      </c>
      <c r="M10" s="43" t="s">
        <v>36</v>
      </c>
      <c r="N10" s="45" t="s">
        <v>30</v>
      </c>
    </row>
    <row r="11" spans="1:14" x14ac:dyDescent="0.3">
      <c r="A11" s="22">
        <v>192</v>
      </c>
      <c r="B11" s="46">
        <v>0.35</v>
      </c>
      <c r="C11" s="23">
        <f>A11*(B11+B5)</f>
        <v>182.39999999999998</v>
      </c>
      <c r="D11" s="50">
        <v>0</v>
      </c>
      <c r="E11" s="50">
        <v>0</v>
      </c>
      <c r="F11" s="24">
        <f>(D11+E11)*9.81</f>
        <v>0</v>
      </c>
      <c r="G11" s="24">
        <v>1450</v>
      </c>
      <c r="H11" s="24">
        <f>F11*E5</f>
        <v>0</v>
      </c>
      <c r="I11" s="24">
        <f>H11*0.035</f>
        <v>0</v>
      </c>
      <c r="J11" s="24">
        <f>(2*3.14*G11*I11)/60</f>
        <v>0</v>
      </c>
      <c r="K11" s="24">
        <v>0</v>
      </c>
      <c r="L11" s="24">
        <v>1</v>
      </c>
      <c r="M11" s="23">
        <f>(J11*L11)/C11</f>
        <v>0</v>
      </c>
      <c r="N11" s="25">
        <f>M11*100</f>
        <v>0</v>
      </c>
    </row>
    <row r="12" spans="1:14" x14ac:dyDescent="0.3">
      <c r="A12" s="26">
        <v>192</v>
      </c>
      <c r="B12" s="47">
        <v>0.5</v>
      </c>
      <c r="C12" s="27">
        <f>A11*(B12+B5)</f>
        <v>211.20000000000002</v>
      </c>
      <c r="D12" s="51">
        <v>0.245</v>
      </c>
      <c r="E12" s="51">
        <v>0.215</v>
      </c>
      <c r="F12" s="24">
        <f>(D12+E12)*9.81</f>
        <v>4.5125999999999999</v>
      </c>
      <c r="G12" s="20">
        <v>1430</v>
      </c>
      <c r="H12" s="20">
        <f>F12*E5</f>
        <v>2.70756</v>
      </c>
      <c r="I12" s="24">
        <f t="shared" ref="I12:I20" si="0">H12*0.035</f>
        <v>9.4764600000000004E-2</v>
      </c>
      <c r="J12" s="24">
        <f t="shared" ref="J12:J20" si="1">(2*3.14*G12*I12)/60</f>
        <v>14.183733563999999</v>
      </c>
      <c r="K12" s="20">
        <v>0</v>
      </c>
      <c r="L12" s="20">
        <v>1</v>
      </c>
      <c r="M12" s="23">
        <f t="shared" ref="M12:M20" si="2">(J12*L12)/C12</f>
        <v>6.7157829374999992E-2</v>
      </c>
      <c r="N12" s="25">
        <f t="shared" ref="N12:N20" si="3">M12*100</f>
        <v>6.7157829374999993</v>
      </c>
    </row>
    <row r="13" spans="1:14" x14ac:dyDescent="0.3">
      <c r="A13" s="29">
        <v>192</v>
      </c>
      <c r="B13" s="48">
        <v>0.6</v>
      </c>
      <c r="C13" s="30">
        <f>A11*(B13+B5)</f>
        <v>230.39999999999998</v>
      </c>
      <c r="D13" s="52">
        <v>0.41499999999999998</v>
      </c>
      <c r="E13" s="52">
        <v>0.43</v>
      </c>
      <c r="F13" s="54">
        <f t="shared" ref="F13:F20" si="4">(D13+E13)*9.81</f>
        <v>8.2894500000000004</v>
      </c>
      <c r="G13" s="31">
        <v>1414</v>
      </c>
      <c r="H13" s="31">
        <f>F13*E5</f>
        <v>4.9736700000000003</v>
      </c>
      <c r="I13" s="54">
        <f t="shared" si="0"/>
        <v>0.17407845000000002</v>
      </c>
      <c r="J13" s="54">
        <f t="shared" si="1"/>
        <v>25.763378495400001</v>
      </c>
      <c r="K13" s="31">
        <v>0</v>
      </c>
      <c r="L13" s="31">
        <v>1</v>
      </c>
      <c r="M13" s="56">
        <f t="shared" si="2"/>
        <v>0.11182021916406251</v>
      </c>
      <c r="N13" s="57">
        <f t="shared" si="3"/>
        <v>11.182021916406251</v>
      </c>
    </row>
    <row r="14" spans="1:14" x14ac:dyDescent="0.3">
      <c r="A14" s="29">
        <v>192</v>
      </c>
      <c r="B14" s="48">
        <v>0.75</v>
      </c>
      <c r="C14" s="30">
        <f>A11*(B14+B5)</f>
        <v>259.20000000000005</v>
      </c>
      <c r="D14" s="52">
        <v>0.70499999999999996</v>
      </c>
      <c r="E14" s="52">
        <v>0.69</v>
      </c>
      <c r="F14" s="54">
        <f t="shared" si="4"/>
        <v>13.684950000000001</v>
      </c>
      <c r="G14" s="31">
        <v>1395</v>
      </c>
      <c r="H14" s="31">
        <f>F14*E5</f>
        <v>8.2109699999999997</v>
      </c>
      <c r="I14" s="54">
        <f t="shared" si="0"/>
        <v>0.28738395</v>
      </c>
      <c r="J14" s="54">
        <f t="shared" si="1"/>
        <v>41.960930539500005</v>
      </c>
      <c r="K14" s="31">
        <v>0</v>
      </c>
      <c r="L14" s="31">
        <v>1</v>
      </c>
      <c r="M14" s="56">
        <f t="shared" si="2"/>
        <v>0.16188630609374999</v>
      </c>
      <c r="N14" s="57">
        <f t="shared" si="3"/>
        <v>16.188630609375</v>
      </c>
    </row>
    <row r="15" spans="1:14" x14ac:dyDescent="0.3">
      <c r="A15" s="26">
        <v>192</v>
      </c>
      <c r="B15" s="47">
        <v>0.86</v>
      </c>
      <c r="C15" s="27">
        <f>A11*(B15+B5)</f>
        <v>280.32</v>
      </c>
      <c r="D15" s="51">
        <v>0.84</v>
      </c>
      <c r="E15" s="51">
        <v>1.21</v>
      </c>
      <c r="F15" s="24">
        <f t="shared" si="4"/>
        <v>20.110499999999998</v>
      </c>
      <c r="G15" s="20">
        <v>1388</v>
      </c>
      <c r="H15" s="20">
        <f>F15*E5</f>
        <v>12.066299999999998</v>
      </c>
      <c r="I15" s="24">
        <f t="shared" si="0"/>
        <v>0.42232049999999999</v>
      </c>
      <c r="J15" s="24">
        <f t="shared" si="1"/>
        <v>61.353596052000007</v>
      </c>
      <c r="K15" s="20">
        <v>0</v>
      </c>
      <c r="L15" s="20">
        <v>1</v>
      </c>
      <c r="M15" s="23">
        <f t="shared" si="2"/>
        <v>0.21886984892979455</v>
      </c>
      <c r="N15" s="25">
        <f t="shared" si="3"/>
        <v>21.886984892979456</v>
      </c>
    </row>
    <row r="16" spans="1:14" x14ac:dyDescent="0.3">
      <c r="A16" s="26">
        <v>192</v>
      </c>
      <c r="B16" s="47">
        <v>0.97</v>
      </c>
      <c r="C16" s="27">
        <f>A11*(B16+B5)</f>
        <v>301.43999999999994</v>
      </c>
      <c r="D16" s="51">
        <v>1.135</v>
      </c>
      <c r="E16" s="51">
        <v>1.73</v>
      </c>
      <c r="F16" s="24">
        <f t="shared" si="4"/>
        <v>28.105650000000004</v>
      </c>
      <c r="G16" s="20">
        <v>1376</v>
      </c>
      <c r="H16" s="20">
        <f>F16*E5</f>
        <v>16.863390000000003</v>
      </c>
      <c r="I16" s="24">
        <f t="shared" si="0"/>
        <v>0.59021865000000018</v>
      </c>
      <c r="J16" s="24">
        <f t="shared" si="1"/>
        <v>85.004076931200032</v>
      </c>
      <c r="K16" s="20">
        <v>0</v>
      </c>
      <c r="L16" s="20">
        <v>1</v>
      </c>
      <c r="M16" s="23">
        <f t="shared" si="2"/>
        <v>0.28199335500000017</v>
      </c>
      <c r="N16" s="25">
        <f t="shared" si="3"/>
        <v>28.199335500000018</v>
      </c>
    </row>
    <row r="17" spans="1:16" x14ac:dyDescent="0.3">
      <c r="A17" s="29">
        <v>192</v>
      </c>
      <c r="B17" s="48">
        <v>1.1000000000000001</v>
      </c>
      <c r="C17" s="30">
        <f>A11*(B17+B5)</f>
        <v>326.40000000000003</v>
      </c>
      <c r="D17" s="52">
        <v>1.5049999999999999</v>
      </c>
      <c r="E17" s="52">
        <v>2.42</v>
      </c>
      <c r="F17" s="54">
        <f t="shared" si="4"/>
        <v>38.504249999999999</v>
      </c>
      <c r="G17" s="31">
        <v>1354</v>
      </c>
      <c r="H17" s="31">
        <f>F17*E5</f>
        <v>23.102549999999997</v>
      </c>
      <c r="I17" s="54">
        <f t="shared" si="0"/>
        <v>0.80858924999999993</v>
      </c>
      <c r="J17" s="54">
        <f t="shared" si="1"/>
        <v>114.592190391</v>
      </c>
      <c r="K17" s="31">
        <v>0</v>
      </c>
      <c r="L17" s="31">
        <v>1</v>
      </c>
      <c r="M17" s="56">
        <f t="shared" si="2"/>
        <v>0.35107901467830882</v>
      </c>
      <c r="N17" s="57">
        <f t="shared" si="3"/>
        <v>35.107901467830885</v>
      </c>
    </row>
    <row r="18" spans="1:16" x14ac:dyDescent="0.3">
      <c r="A18" s="29">
        <v>192</v>
      </c>
      <c r="B18" s="48">
        <v>1.2</v>
      </c>
      <c r="C18" s="30">
        <f>A11*(B18+B5)</f>
        <v>345.59999999999997</v>
      </c>
      <c r="D18" s="52">
        <v>1.89</v>
      </c>
      <c r="E18" s="52">
        <v>2.94</v>
      </c>
      <c r="F18" s="54">
        <f t="shared" si="4"/>
        <v>47.382300000000001</v>
      </c>
      <c r="G18" s="31">
        <v>1332</v>
      </c>
      <c r="H18" s="31">
        <f>F18*E5</f>
        <v>28.429379999999998</v>
      </c>
      <c r="I18" s="54">
        <f t="shared" si="0"/>
        <v>0.99502830000000009</v>
      </c>
      <c r="J18" s="54">
        <f t="shared" si="1"/>
        <v>138.72286547280004</v>
      </c>
      <c r="K18" s="31">
        <v>0</v>
      </c>
      <c r="L18" s="31">
        <v>1</v>
      </c>
      <c r="M18" s="56">
        <f t="shared" si="2"/>
        <v>0.40139718018750015</v>
      </c>
      <c r="N18" s="57">
        <f t="shared" si="3"/>
        <v>40.139718018750017</v>
      </c>
      <c r="P18"/>
    </row>
    <row r="19" spans="1:16" x14ac:dyDescent="0.3">
      <c r="A19" s="26">
        <v>192</v>
      </c>
      <c r="B19" s="47">
        <v>1.38</v>
      </c>
      <c r="C19" s="27">
        <f>A11*(B19+B5)</f>
        <v>380.15999999999997</v>
      </c>
      <c r="D19" s="51">
        <v>2.415</v>
      </c>
      <c r="E19" s="51">
        <v>3.31</v>
      </c>
      <c r="F19" s="24">
        <f t="shared" si="4"/>
        <v>56.16225</v>
      </c>
      <c r="G19" s="20">
        <v>1312</v>
      </c>
      <c r="H19" s="20">
        <f>F19*E5</f>
        <v>33.69735</v>
      </c>
      <c r="I19" s="24">
        <f t="shared" si="0"/>
        <v>1.1794072500000001</v>
      </c>
      <c r="J19" s="24">
        <f t="shared" si="1"/>
        <v>161.95934865600003</v>
      </c>
      <c r="K19" s="20">
        <v>0</v>
      </c>
      <c r="L19" s="20">
        <v>1</v>
      </c>
      <c r="M19" s="23">
        <f t="shared" si="2"/>
        <v>0.42602943143939404</v>
      </c>
      <c r="N19" s="25">
        <f t="shared" si="3"/>
        <v>42.602943143939406</v>
      </c>
    </row>
    <row r="20" spans="1:16" x14ac:dyDescent="0.3">
      <c r="A20" s="26">
        <v>192</v>
      </c>
      <c r="B20" s="47">
        <v>1.61</v>
      </c>
      <c r="C20" s="27">
        <f>A11*(B20+B5)</f>
        <v>424.32</v>
      </c>
      <c r="D20" s="51">
        <v>2.6549999999999998</v>
      </c>
      <c r="E20" s="51">
        <v>4.0549999999999997</v>
      </c>
      <c r="F20" s="24">
        <f t="shared" si="4"/>
        <v>65.825099999999992</v>
      </c>
      <c r="G20" s="20">
        <v>1268</v>
      </c>
      <c r="H20" s="20">
        <f>F20*E5</f>
        <v>39.495059999999995</v>
      </c>
      <c r="I20" s="24">
        <f t="shared" si="0"/>
        <v>1.3823270999999999</v>
      </c>
      <c r="J20" s="24">
        <f t="shared" si="1"/>
        <v>183.4587665064</v>
      </c>
      <c r="K20" s="20">
        <v>0</v>
      </c>
      <c r="L20" s="20">
        <v>1</v>
      </c>
      <c r="M20" s="23">
        <f t="shared" si="2"/>
        <v>0.43235946103506789</v>
      </c>
      <c r="N20" s="25">
        <f t="shared" si="3"/>
        <v>43.235946103506791</v>
      </c>
    </row>
    <row r="21" spans="1:16" x14ac:dyDescent="0.3">
      <c r="A21" s="29"/>
      <c r="B21" s="48"/>
      <c r="C21" s="30"/>
      <c r="D21" s="52"/>
      <c r="E21" s="52"/>
      <c r="F21" s="54"/>
      <c r="G21" s="31"/>
      <c r="H21" s="31"/>
      <c r="I21" s="54"/>
      <c r="J21" s="54"/>
      <c r="K21" s="31"/>
      <c r="L21" s="31"/>
      <c r="M21" s="56"/>
      <c r="N21" s="57"/>
    </row>
    <row r="22" spans="1:16" x14ac:dyDescent="0.3">
      <c r="A22" s="29"/>
      <c r="B22" s="48"/>
      <c r="C22" s="30"/>
      <c r="D22" s="52"/>
      <c r="E22" s="52"/>
      <c r="F22" s="54"/>
      <c r="G22" s="31"/>
      <c r="H22" s="31"/>
      <c r="I22" s="54"/>
      <c r="J22" s="54"/>
      <c r="K22" s="31"/>
      <c r="L22" s="31"/>
      <c r="M22" s="56"/>
      <c r="N22" s="57"/>
    </row>
    <row r="23" spans="1:16" x14ac:dyDescent="0.3">
      <c r="A23" s="26"/>
      <c r="B23" s="47"/>
      <c r="C23" s="27"/>
      <c r="D23" s="51"/>
      <c r="E23" s="51"/>
      <c r="F23" s="24"/>
      <c r="G23" s="20"/>
      <c r="H23" s="20"/>
      <c r="I23" s="24"/>
      <c r="J23" s="24"/>
      <c r="K23" s="20"/>
      <c r="L23" s="20"/>
      <c r="M23" s="23"/>
      <c r="N23" s="25"/>
    </row>
    <row r="24" spans="1:16" x14ac:dyDescent="0.3">
      <c r="A24" s="26"/>
      <c r="B24" s="47"/>
      <c r="C24" s="27"/>
      <c r="D24" s="51"/>
      <c r="E24" s="51"/>
      <c r="F24" s="24"/>
      <c r="G24" s="20"/>
      <c r="H24" s="20"/>
      <c r="I24" s="24"/>
      <c r="J24" s="24"/>
      <c r="K24" s="20"/>
      <c r="L24" s="20"/>
      <c r="M24" s="23"/>
      <c r="N24" s="25"/>
    </row>
    <row r="25" spans="1:16" x14ac:dyDescent="0.3">
      <c r="A25" s="29"/>
      <c r="B25" s="48"/>
      <c r="C25" s="30"/>
      <c r="D25" s="52"/>
      <c r="E25" s="52"/>
      <c r="F25" s="54"/>
      <c r="G25" s="31"/>
      <c r="H25" s="31"/>
      <c r="I25" s="54"/>
      <c r="J25" s="54"/>
      <c r="K25" s="31"/>
      <c r="L25" s="31"/>
      <c r="M25" s="56"/>
      <c r="N25" s="57"/>
    </row>
    <row r="26" spans="1:16" x14ac:dyDescent="0.3">
      <c r="A26" s="29"/>
      <c r="B26" s="48"/>
      <c r="C26" s="30"/>
      <c r="D26" s="52"/>
      <c r="E26" s="52"/>
      <c r="F26" s="54"/>
      <c r="G26" s="31"/>
      <c r="H26" s="31"/>
      <c r="I26" s="54"/>
      <c r="J26" s="54"/>
      <c r="K26" s="31"/>
      <c r="L26" s="31"/>
      <c r="M26" s="56"/>
      <c r="N26" s="57"/>
    </row>
    <row r="27" spans="1:16" x14ac:dyDescent="0.3">
      <c r="A27" s="26"/>
      <c r="B27" s="47"/>
      <c r="C27" s="27"/>
      <c r="D27" s="51"/>
      <c r="E27" s="51"/>
      <c r="F27" s="24"/>
      <c r="G27" s="20"/>
      <c r="H27" s="20"/>
      <c r="I27" s="24"/>
      <c r="J27" s="24"/>
      <c r="K27" s="20"/>
      <c r="L27" s="20"/>
      <c r="M27" s="23"/>
      <c r="N27" s="25"/>
    </row>
    <row r="28" spans="1:16" ht="15" thickBot="1" x14ac:dyDescent="0.35">
      <c r="A28" s="33"/>
      <c r="B28" s="49"/>
      <c r="C28" s="34"/>
      <c r="D28" s="53"/>
      <c r="E28" s="53"/>
      <c r="F28" s="55"/>
      <c r="G28" s="21"/>
      <c r="H28" s="21"/>
      <c r="I28" s="55"/>
      <c r="J28" s="55"/>
      <c r="K28" s="21"/>
      <c r="L28" s="21"/>
      <c r="M28" s="18"/>
      <c r="N28" s="58"/>
    </row>
    <row r="33" spans="7:11" x14ac:dyDescent="0.3">
      <c r="I33"/>
    </row>
    <row r="36" spans="7:11" x14ac:dyDescent="0.3">
      <c r="G36"/>
    </row>
    <row r="40" spans="7:11" x14ac:dyDescent="0.3">
      <c r="G40"/>
    </row>
    <row r="44" spans="7:11" x14ac:dyDescent="0.3">
      <c r="K44"/>
    </row>
    <row r="73" spans="3:3" x14ac:dyDescent="0.3">
      <c r="C73"/>
    </row>
    <row r="86" spans="8:8" x14ac:dyDescent="0.3">
      <c r="H86"/>
    </row>
  </sheetData>
  <mergeCells count="11">
    <mergeCell ref="A1:B1"/>
    <mergeCell ref="C1:G1"/>
    <mergeCell ref="J1:L1"/>
    <mergeCell ref="M1:N2"/>
    <mergeCell ref="B2:C2"/>
    <mergeCell ref="K2:L2"/>
    <mergeCell ref="A3:A5"/>
    <mergeCell ref="G3:G5"/>
    <mergeCell ref="H3:N3"/>
    <mergeCell ref="H4:N4"/>
    <mergeCell ref="H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FrameWork</vt:lpstr>
      <vt:lpstr>Series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pravallica Nemalipuri</dc:creator>
  <cp:lastModifiedBy>Akbar Qamar</cp:lastModifiedBy>
  <dcterms:created xsi:type="dcterms:W3CDTF">2024-03-24T08:04:25Z</dcterms:created>
  <dcterms:modified xsi:type="dcterms:W3CDTF">2026-04-06T08:57:02Z</dcterms:modified>
</cp:coreProperties>
</file>